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ago\OneDrive\Área de Trabalho\Cursos\Excel+Claude\"/>
    </mc:Choice>
  </mc:AlternateContent>
  <xr:revisionPtr revIDLastSave="0" documentId="8_{D273E4DD-63D5-4621-A040-7867A2308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ilha1" sheetId="2" r:id="rId2"/>
  </sheets>
  <definedNames>
    <definedName name="APORTE_MENSAL">Plan1!$D$13</definedName>
    <definedName name="PATRIMONIO">Plan1!$D$16</definedName>
    <definedName name="QTD_ANOS">Plan1!$D$14</definedName>
    <definedName name="RENDIMENTO_CARTEIRA">Plan1!$D$9</definedName>
    <definedName name="SALARIO">Plan1!$D$8</definedName>
    <definedName name="SGT_INVESTIMENTO">Plan1!$D$10</definedName>
    <definedName name="TAXA_MENSAL">Plan1!$D$15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C34" i="1"/>
  <c r="C30" i="1"/>
  <c r="A17" i="2"/>
  <c r="A18" i="2"/>
  <c r="A19" i="2"/>
  <c r="A20" i="2"/>
  <c r="A21" i="2"/>
  <c r="A22" i="2"/>
  <c r="A12" i="2"/>
  <c r="A13" i="2"/>
  <c r="A14" i="2"/>
  <c r="A15" i="2"/>
  <c r="A16" i="2"/>
  <c r="A11" i="2"/>
  <c r="A8" i="2"/>
  <c r="A9" i="2"/>
  <c r="A10" i="2"/>
  <c r="C27" i="1"/>
  <c r="D16" i="1"/>
  <c r="D17" i="1" s="1"/>
  <c r="D10" i="1"/>
  <c r="C21" i="1"/>
  <c r="D21" i="1" s="1"/>
  <c r="C22" i="1"/>
  <c r="D22" i="1" s="1"/>
  <c r="C23" i="1"/>
  <c r="D23" i="1" s="1"/>
  <c r="C24" i="1"/>
  <c r="D24" i="1" s="1"/>
  <c r="C20" i="1"/>
  <c r="D20" i="1" s="1"/>
  <c r="D34" i="1" l="1"/>
  <c r="D30" i="1"/>
  <c r="C32" i="1"/>
  <c r="D32" i="1" s="1"/>
  <c r="C31" i="1"/>
  <c r="D31" i="1" s="1"/>
  <c r="C33" i="1"/>
  <c r="D33" i="1" s="1"/>
  <c r="C35" i="1"/>
  <c r="D35" i="1" s="1"/>
  <c r="D36" i="1" l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<sst xmlns="http://schemas.openxmlformats.org/spreadsheetml/2006/main" count="71" uniqueCount="35">
  <si>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</si>
  <si>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</si>
  <si>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</si>
  <si>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</si>
  <si>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</si>
  <si>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</si>
  <si>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</si>
  <si>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</si>
  <si>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</si>
  <si>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</si>
  <si>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</si>
  <si>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</si>
  <si>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</si>
  <si>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</si>
  <si>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</si>
  <si>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</si>
  <si>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Sugestão de investimento</t>
  </si>
  <si>
    <t>🪙INVESTMENTS</t>
  </si>
  <si>
    <t>PERFIL</t>
  </si>
  <si>
    <t>AGRESSIVO</t>
  </si>
  <si>
    <t>MODERADO</t>
  </si>
  <si>
    <t>CONSERVADOR</t>
  </si>
  <si>
    <t>VALOR APORTE MENSAL</t>
  </si>
  <si>
    <t>TIPO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</si>
  <si>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</si>
  <si>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</si>
  <si>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</si>
  <si>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</si>
  <si>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</si>
  <si>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</si>
  <si>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</si>
  <si>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</si>
  <si>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VALOR TOTAL</t>
  </si>
  <si>
    <t>%</t>
  </si>
  <si>
    <t>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</si>
</sst>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48"/>
      <color theme="0"/>
      <name val="Aptos Slab ExtraBold"/>
      <family val="2"/>
    </font>
    <font>
      <sz val="36"/>
      <color theme="0"/>
      <name val="Aptos Slab ExtraBold"/>
      <family val="2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168" fontId="0" fillId="0" borderId="4" xfId="0" applyNumberFormat="1" applyBorder="1" applyAlignment="1">
      <alignment horizontal="center"/>
    </xf>
    <xf numFmtId="168" fontId="2" fillId="3" borderId="10" xfId="0" applyNumberFormat="1" applyFont="1" applyFill="1" applyBorder="1" applyAlignment="1">
      <alignment horizontal="center"/>
    </xf>
    <xf numFmtId="168" fontId="2" fillId="3" borderId="11" xfId="0" applyNumberFormat="1" applyFont="1" applyFill="1" applyBorder="1" applyAlignment="1">
      <alignment horizontal="center"/>
    </xf>
    <xf numFmtId="168" fontId="2" fillId="3" borderId="13" xfId="0" applyNumberFormat="1" applyFont="1" applyFill="1" applyBorder="1" applyAlignment="1">
      <alignment horizontal="center"/>
    </xf>
    <xf numFmtId="168" fontId="2" fillId="3" borderId="14" xfId="0" applyNumberFormat="1" applyFont="1" applyFill="1" applyBorder="1" applyAlignment="1">
      <alignment horizontal="center"/>
    </xf>
    <xf numFmtId="168" fontId="2" fillId="3" borderId="16" xfId="0" applyNumberFormat="1" applyFont="1" applyFill="1" applyBorder="1" applyAlignment="1">
      <alignment horizontal="center"/>
    </xf>
    <xf numFmtId="168" fontId="2" fillId="3" borderId="17" xfId="0" applyNumberFormat="1" applyFont="1" applyFill="1" applyBorder="1" applyAlignment="1">
      <alignment horizontal="center"/>
    </xf>
    <xf numFmtId="168" fontId="2" fillId="0" borderId="11" xfId="1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/>
    </xf>
    <xf numFmtId="10" fontId="2" fillId="0" borderId="14" xfId="0" applyNumberFormat="1" applyFont="1" applyBorder="1" applyAlignment="1">
      <alignment horizontal="center"/>
    </xf>
    <xf numFmtId="8" fontId="2" fillId="3" borderId="14" xfId="0" applyNumberFormat="1" applyFont="1" applyFill="1" applyBorder="1" applyAlignment="1">
      <alignment horizontal="center"/>
    </xf>
    <xf numFmtId="8" fontId="2" fillId="3" borderId="17" xfId="0" applyNumberFormat="1" applyFont="1" applyFill="1" applyBorder="1" applyAlignment="1">
      <alignment horizontal="center"/>
    </xf>
    <xf numFmtId="0" fontId="7" fillId="0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left"/>
    </xf>
    <xf numFmtId="168" fontId="2" fillId="6" borderId="14" xfId="0" applyNumberFormat="1" applyFont="1" applyFill="1" applyBorder="1" applyAlignment="1">
      <alignment horizontal="center"/>
    </xf>
    <xf numFmtId="10" fontId="2" fillId="6" borderId="14" xfId="0" applyNumberFormat="1" applyFont="1" applyFill="1" applyBorder="1" applyAlignment="1">
      <alignment horizontal="center"/>
    </xf>
    <xf numFmtId="168" fontId="2" fillId="6" borderId="17" xfId="0" applyNumberFormat="1" applyFont="1" applyFill="1" applyBorder="1" applyAlignment="1">
      <alignment horizontal="center"/>
    </xf>
    <xf numFmtId="0" fontId="10" fillId="3" borderId="9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10" fillId="3" borderId="13" xfId="0" applyFont="1" applyFill="1" applyBorder="1" applyAlignment="1">
      <alignment horizontal="left"/>
    </xf>
    <xf numFmtId="0" fontId="10" fillId="3" borderId="15" xfId="0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0" fontId="10" fillId="3" borderId="9" xfId="0" applyFont="1" applyFill="1" applyBorder="1"/>
    <xf numFmtId="0" fontId="10" fillId="3" borderId="12" xfId="0" applyFont="1" applyFill="1" applyBorder="1"/>
    <xf numFmtId="0" fontId="10" fillId="3" borderId="15" xfId="0" applyFont="1" applyFill="1" applyBorder="1"/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9" fontId="0" fillId="0" borderId="8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168" fontId="12" fillId="7" borderId="6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Plan1!$B$30:$B$35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Plan1!$C$30:$C$35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A-4E9C-AF90-70D167B23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608134</xdr:colOff>
      <xdr:row>36</xdr:row>
      <xdr:rowOff>130419</xdr:rowOff>
    </xdr:from>
    <xdr:to>
      <xdr:col>4</xdr:col>
      <xdr:colOff>14652</xdr:colOff>
      <xdr:row>51</xdr:row>
      <xdr:rowOff>16119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E20C3C-7D98-1B6A-420E-CC45110E2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tabSelected="1" zoomScale="130" zoomScaleNormal="130" workbookViewId="0">
      <selection activeCell="B62" sqref="B62:B63"/>
    </sheetView>
  </sheetViews>
  <sheetFormatPr defaultColWidth="0" defaultRowHeight="15" x14ac:dyDescent="0.25"/>
  <cols>
    <col min="1" max="1" width="9.140625" customWidth="1"/>
    <col min="2" max="2" width="22.5703125" bestFit="1" customWidth="1"/>
    <col min="3" max="3" width="22.140625" bestFit="1" customWidth="1"/>
    <col min="4" max="4" width="22.42578125" bestFit="1" customWidth="1"/>
    <col min="5" max="5" width="4.42578125" customWidth="1"/>
    <col min="6" max="6" width="6.28515625" hidden="1" customWidth="1"/>
    <col min="7" max="7" width="5.5703125" hidden="1" customWidth="1"/>
    <col min="8" max="8" width="4.5703125" hidden="1" customWidth="1"/>
    <col min="9" max="9" width="4.42578125" hidden="1" customWidth="1"/>
    <col min="10" max="10" width="4.85546875" hidden="1" customWidth="1"/>
    <col min="11" max="16384" width="9.140625" hidden="1"/>
  </cols>
  <sheetData>
    <row r="1" spans="2:6" ht="15" customHeight="1" x14ac:dyDescent="0.25">
      <c r="B1" s="27" t="s">
        <v>17</v>
      </c>
      <c r="C1" s="27"/>
      <c r="D1" s="27"/>
      <c r="E1" s="18"/>
      <c r="F1" s="18"/>
    </row>
    <row r="2" spans="2:6" ht="15" customHeight="1" x14ac:dyDescent="0.25">
      <c r="B2" s="27"/>
      <c r="C2" s="27"/>
      <c r="D2" s="27"/>
      <c r="E2" s="18"/>
      <c r="F2" s="18"/>
    </row>
    <row r="3" spans="2:6" ht="15" customHeight="1" x14ac:dyDescent="0.25">
      <c r="B3" s="27"/>
      <c r="C3" s="27"/>
      <c r="D3" s="27"/>
      <c r="E3" s="18"/>
      <c r="F3" s="18"/>
    </row>
    <row r="4" spans="2:6" ht="15" customHeight="1" x14ac:dyDescent="0.25">
      <c r="B4" s="27"/>
      <c r="C4" s="27"/>
      <c r="D4" s="27"/>
      <c r="E4" s="18"/>
      <c r="F4" s="18"/>
    </row>
    <row r="5" spans="2:6" ht="15" customHeight="1" x14ac:dyDescent="0.25">
      <c r="B5" s="27"/>
      <c r="C5" s="27"/>
      <c r="D5" s="27"/>
      <c r="E5" s="18"/>
      <c r="F5" s="18"/>
    </row>
    <row r="6" spans="2:6" ht="15.75" thickBot="1" x14ac:dyDescent="0.3"/>
    <row r="7" spans="2:6" ht="21" x14ac:dyDescent="0.25">
      <c r="B7" s="20" t="s">
        <v>13</v>
      </c>
      <c r="C7" s="21"/>
      <c r="D7" s="22"/>
    </row>
    <row r="8" spans="2:6" ht="15.75" x14ac:dyDescent="0.25">
      <c r="B8" s="35" t="s">
        <v>15</v>
      </c>
      <c r="C8" s="36"/>
      <c r="D8" s="32">
        <v>2277</v>
      </c>
    </row>
    <row r="9" spans="2:6" ht="15.75" x14ac:dyDescent="0.25">
      <c r="B9" s="37" t="s">
        <v>14</v>
      </c>
      <c r="C9" s="38"/>
      <c r="D9" s="33">
        <v>6.0000000000000001E-3</v>
      </c>
    </row>
    <row r="10" spans="2:6" ht="16.5" thickBot="1" x14ac:dyDescent="0.3">
      <c r="B10" s="39" t="s">
        <v>16</v>
      </c>
      <c r="C10" s="40"/>
      <c r="D10" s="34">
        <f>D8*30%</f>
        <v>683.1</v>
      </c>
    </row>
    <row r="11" spans="2:6" ht="15.75" thickBot="1" x14ac:dyDescent="0.3"/>
    <row r="12" spans="2:6" ht="26.25" x14ac:dyDescent="0.25">
      <c r="B12" s="3" t="s">
        <v>0</v>
      </c>
      <c r="C12" s="4"/>
      <c r="D12" s="19"/>
    </row>
    <row r="13" spans="2:6" ht="15.75" x14ac:dyDescent="0.25">
      <c r="B13" s="23" t="s">
        <v>1</v>
      </c>
      <c r="C13" s="24"/>
      <c r="D13" s="13">
        <v>200</v>
      </c>
    </row>
    <row r="14" spans="2:6" ht="15.75" x14ac:dyDescent="0.25">
      <c r="B14" s="25" t="s">
        <v>2</v>
      </c>
      <c r="C14" s="26"/>
      <c r="D14" s="14">
        <v>5</v>
      </c>
    </row>
    <row r="15" spans="2:6" ht="15.75" x14ac:dyDescent="0.25">
      <c r="B15" s="25" t="s">
        <v>3</v>
      </c>
      <c r="C15" s="26"/>
      <c r="D15" s="15">
        <v>1.0789999999999999E-2</v>
      </c>
    </row>
    <row r="16" spans="2:6" ht="15.75" x14ac:dyDescent="0.25">
      <c r="B16" s="28" t="s">
        <v>4</v>
      </c>
      <c r="C16" s="29"/>
      <c r="D16" s="16">
        <f>FV(TAXA_MENSAL,QTD_ANOS*12,APORTE_MENSAL*-1)</f>
        <v>16755.382799697527</v>
      </c>
    </row>
    <row r="17" spans="1:4" ht="16.5" thickBot="1" x14ac:dyDescent="0.3">
      <c r="B17" s="30" t="s">
        <v>5</v>
      </c>
      <c r="C17" s="31"/>
      <c r="D17" s="17">
        <f>PATRIMONIO*RENDIMENTO_CARTEIRA</f>
        <v>100.53229679818516</v>
      </c>
    </row>
    <row r="18" spans="1:4" ht="15.75" thickBot="1" x14ac:dyDescent="0.3"/>
    <row r="19" spans="1:4" ht="26.25" x14ac:dyDescent="0.25">
      <c r="B19" s="3" t="s">
        <v>11</v>
      </c>
      <c r="C19" s="4"/>
      <c r="D19" s="5" t="s">
        <v>12</v>
      </c>
    </row>
    <row r="20" spans="1:4" ht="15.75" x14ac:dyDescent="0.25">
      <c r="A20" s="1">
        <v>2</v>
      </c>
      <c r="B20" s="41" t="s">
        <v>6</v>
      </c>
      <c r="C20" s="7">
        <f>FV($D$15,$A20*12,$D$13*-1)</f>
        <v>5445.5254595290435</v>
      </c>
      <c r="D20" s="8">
        <f>C20*RENDIMENTO_CARTEIRA</f>
        <v>32.673152757174265</v>
      </c>
    </row>
    <row r="21" spans="1:4" ht="15.75" x14ac:dyDescent="0.25">
      <c r="A21" s="1">
        <v>5</v>
      </c>
      <c r="B21" s="42" t="s">
        <v>7</v>
      </c>
      <c r="C21" s="9">
        <f>FV($D$15,$A21*12,$D$13*-1)</f>
        <v>16755.382799697527</v>
      </c>
      <c r="D21" s="10">
        <f>C21*RENDIMENTO_CARTEIRA</f>
        <v>100.53229679818516</v>
      </c>
    </row>
    <row r="22" spans="1:4" ht="15.75" x14ac:dyDescent="0.25">
      <c r="A22" s="1">
        <v>10</v>
      </c>
      <c r="B22" s="42" t="s">
        <v>8</v>
      </c>
      <c r="C22" s="9">
        <f>FV($D$15,$A22*12,$D$13*-1)</f>
        <v>48656.842506034438</v>
      </c>
      <c r="D22" s="10">
        <f>C22*RENDIMENTO_CARTEIRA</f>
        <v>291.94105503620665</v>
      </c>
    </row>
    <row r="23" spans="1:4" ht="15.75" x14ac:dyDescent="0.25">
      <c r="A23" s="1">
        <v>20</v>
      </c>
      <c r="B23" s="42" t="s">
        <v>9</v>
      </c>
      <c r="C23" s="9">
        <f>FV($D$15,$A23*12,$D$13*-1)</f>
        <v>225039.68001941612</v>
      </c>
      <c r="D23" s="10">
        <f>C23*RENDIMENTO_CARTEIRA</f>
        <v>1350.2380801164968</v>
      </c>
    </row>
    <row r="24" spans="1:4" ht="16.5" thickBot="1" x14ac:dyDescent="0.3">
      <c r="A24" s="1">
        <v>30</v>
      </c>
      <c r="B24" s="43" t="s">
        <v>10</v>
      </c>
      <c r="C24" s="11">
        <f>FV($D$15,$A24*12,$D$13*-1)</f>
        <v>864433.93100094295</v>
      </c>
      <c r="D24" s="12">
        <f>C24*RENDIMENTO_CARTEIRA</f>
        <v>5186.6035860056581</v>
      </c>
    </row>
    <row r="25" spans="1:4" ht="15.75" thickBot="1" x14ac:dyDescent="0.3"/>
    <row r="26" spans="1:4" ht="15.75" x14ac:dyDescent="0.25">
      <c r="B26" s="50" t="s">
        <v>18</v>
      </c>
      <c r="C26" s="51" t="s">
        <v>21</v>
      </c>
      <c r="D26" s="52"/>
    </row>
    <row r="27" spans="1:4" ht="15.75" thickBot="1" x14ac:dyDescent="0.3">
      <c r="B27" s="58" t="s">
        <v>22</v>
      </c>
      <c r="C27" s="59">
        <f>APORTE_MENSAL</f>
        <v>200</v>
      </c>
      <c r="D27" s="60"/>
    </row>
    <row r="28" spans="1:4" ht="15.75" thickBot="1" x14ac:dyDescent="0.3"/>
    <row r="29" spans="1:4" x14ac:dyDescent="0.25">
      <c r="B29" s="61" t="s">
        <v>23</v>
      </c>
      <c r="C29" s="62" t="s">
        <v>24</v>
      </c>
      <c r="D29" s="63" t="s">
        <v>25</v>
      </c>
    </row>
    <row r="30" spans="1:4" x14ac:dyDescent="0.25">
      <c r="B30" s="53" t="s">
        <v>26</v>
      </c>
      <c r="C30" s="54">
        <f>VLOOKUP($C$26&amp;"-"&amp;B30,Planilha1!A:D,4,FALSE)</f>
        <v>0.3</v>
      </c>
      <c r="D30" s="6">
        <f>C30*$C$27</f>
        <v>60</v>
      </c>
    </row>
    <row r="31" spans="1:4" x14ac:dyDescent="0.25">
      <c r="B31" s="53" t="s">
        <v>27</v>
      </c>
      <c r="C31" s="54">
        <f>VLOOKUP($C$26&amp;"-"&amp;B31,Planilha1!A:D,4,FALSE)</f>
        <v>0.5</v>
      </c>
      <c r="D31" s="6">
        <f t="shared" ref="D31:D35" si="0">C31*$C$27</f>
        <v>100</v>
      </c>
    </row>
    <row r="32" spans="1:4" x14ac:dyDescent="0.25">
      <c r="B32" s="53" t="s">
        <v>28</v>
      </c>
      <c r="C32" s="54">
        <f>VLOOKUP($C$26&amp;"-"&amp;B32,Planilha1!A:D,4,FALSE)</f>
        <v>0.1</v>
      </c>
      <c r="D32" s="6">
        <f t="shared" si="0"/>
        <v>20</v>
      </c>
    </row>
    <row r="33" spans="2:4" x14ac:dyDescent="0.25">
      <c r="B33" s="53" t="s">
        <v>29</v>
      </c>
      <c r="C33" s="54">
        <f>VLOOKUP($C$26&amp;"-"&amp;B33,Planilha1!A:D,4,FALSE)</f>
        <v>0.1</v>
      </c>
      <c r="D33" s="6">
        <f t="shared" si="0"/>
        <v>20</v>
      </c>
    </row>
    <row r="34" spans="2:4" x14ac:dyDescent="0.25">
      <c r="B34" s="53" t="s">
        <v>30</v>
      </c>
      <c r="C34" s="54">
        <f>VLOOKUP($C$26&amp;"-"&amp;B34,Planilha1!A:D,4,FALSE)</f>
        <v>0</v>
      </c>
      <c r="D34" s="6">
        <f t="shared" si="0"/>
        <v>0</v>
      </c>
    </row>
    <row r="35" spans="2:4" x14ac:dyDescent="0.25">
      <c r="B35" s="53" t="s">
        <v>31</v>
      </c>
      <c r="C35" s="54">
        <f>VLOOKUP($C$26&amp;"-"&amp;B35,Planilha1!A:D,4,FALSE)</f>
        <v>0</v>
      </c>
      <c r="D35" s="6">
        <f t="shared" si="0"/>
        <v>0</v>
      </c>
    </row>
    <row r="36" spans="2:4" ht="15.75" thickBot="1" x14ac:dyDescent="0.3">
      <c r="B36" s="55" t="s">
        <v>32</v>
      </c>
      <c r="C36" s="56"/>
      <c r="D36" s="57">
        <f>SUM(D30:D35)</f>
        <v>200</v>
      </c>
    </row>
  </sheetData>
  <mergeCells count="15">
    <mergeCell ref="C26:D26"/>
    <mergeCell ref="C27:D27"/>
    <mergeCell ref="B36:C36"/>
    <mergeCell ref="B10:C10"/>
    <mergeCell ref="B13:C13"/>
    <mergeCell ref="B14:C14"/>
    <mergeCell ref="B15:C15"/>
    <mergeCell ref="B16:C16"/>
    <mergeCell ref="B17:C17"/>
    <mergeCell ref="B19:C19"/>
    <mergeCell ref="B12:D12"/>
    <mergeCell ref="B1:D5"/>
    <mergeCell ref="B7:D7"/>
    <mergeCell ref="B8:C8"/>
    <mergeCell ref="B9:C9"/>
  </mergeCells>
  <dataValidations count="1">
    <dataValidation type="list" allowBlank="1" showInputMessage="1" showErrorMessage="1" sqref="C26:D26" xr:uid="{280A0D4C-4F32-4F41-B2D9-A52F054D8A4D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4756-21D1-4258-B6B5-BC77CF7B215A}">
  <dimension ref="A4:D22"/>
  <sheetViews>
    <sheetView workbookViewId="0">
      <selection activeCell="F20" sqref="F20"/>
    </sheetView>
  </sheetViews>
  <sheetFormatPr defaultRowHeight="15" x14ac:dyDescent="0.25"/>
  <cols>
    <col min="1" max="1" width="21" bestFit="1" customWidth="1"/>
    <col min="2" max="2" width="14.7109375" bestFit="1" customWidth="1"/>
    <col min="3" max="3" width="19" bestFit="1" customWidth="1"/>
    <col min="4" max="4" width="9.140625" style="44"/>
  </cols>
  <sheetData>
    <row r="4" spans="1:4" x14ac:dyDescent="0.25">
      <c r="A4" t="s">
        <v>34</v>
      </c>
      <c r="B4" s="2" t="s">
        <v>18</v>
      </c>
      <c r="C4" s="2" t="s">
        <v>23</v>
      </c>
      <c r="D4" s="44" t="s">
        <v>33</v>
      </c>
    </row>
    <row r="5" spans="1:4" x14ac:dyDescent="0.25">
      <c r="A5" t="str">
        <f>B5&amp;"-"&amp;C5</f>
        <v>CONSERVADOR-PAPEL</v>
      </c>
      <c r="B5" s="45" t="s">
        <v>21</v>
      </c>
      <c r="C5" s="45" t="s">
        <v>26</v>
      </c>
      <c r="D5" s="44">
        <v>0.3</v>
      </c>
    </row>
    <row r="6" spans="1:4" x14ac:dyDescent="0.25">
      <c r="A6" t="str">
        <f t="shared" ref="A6:A22" si="0">B6&amp;"-"&amp;C6</f>
        <v>CONSERVADOR-TIJOLO</v>
      </c>
      <c r="B6" s="45" t="s">
        <v>21</v>
      </c>
      <c r="C6" s="45" t="s">
        <v>27</v>
      </c>
      <c r="D6" s="44">
        <v>0.5</v>
      </c>
    </row>
    <row r="7" spans="1:4" x14ac:dyDescent="0.25">
      <c r="A7" t="str">
        <f t="shared" si="0"/>
        <v>CONSERVADOR-HIBRIDOS</v>
      </c>
      <c r="B7" s="45" t="s">
        <v>21</v>
      </c>
      <c r="C7" s="45" t="s">
        <v>28</v>
      </c>
      <c r="D7" s="44">
        <v>0.1</v>
      </c>
    </row>
    <row r="8" spans="1:4" x14ac:dyDescent="0.25">
      <c r="A8" t="str">
        <f t="shared" si="0"/>
        <v>CONSERVADOR-FOFs</v>
      </c>
      <c r="B8" s="45" t="s">
        <v>21</v>
      </c>
      <c r="C8" s="45" t="s">
        <v>29</v>
      </c>
      <c r="D8" s="44">
        <v>0.1</v>
      </c>
    </row>
    <row r="9" spans="1:4" x14ac:dyDescent="0.25">
      <c r="A9" t="str">
        <f t="shared" si="0"/>
        <v>CONSERVADOR-DESENVOLVIMENTO</v>
      </c>
      <c r="B9" s="45" t="s">
        <v>21</v>
      </c>
      <c r="C9" s="45" t="s">
        <v>30</v>
      </c>
      <c r="D9" s="44">
        <v>0</v>
      </c>
    </row>
    <row r="10" spans="1:4" ht="15.75" thickBot="1" x14ac:dyDescent="0.3">
      <c r="A10" s="46" t="str">
        <f t="shared" si="0"/>
        <v>CONSERVADOR-HOTELARIAS</v>
      </c>
      <c r="B10" s="47" t="s">
        <v>21</v>
      </c>
      <c r="C10" s="47" t="s">
        <v>31</v>
      </c>
      <c r="D10" s="48">
        <v>0</v>
      </c>
    </row>
    <row r="11" spans="1:4" x14ac:dyDescent="0.25">
      <c r="A11" t="str">
        <f t="shared" si="0"/>
        <v>MODERADO-PAPEL</v>
      </c>
      <c r="B11" s="45" t="s">
        <v>20</v>
      </c>
      <c r="C11" s="45" t="s">
        <v>26</v>
      </c>
      <c r="D11" s="49">
        <v>0.32</v>
      </c>
    </row>
    <row r="12" spans="1:4" x14ac:dyDescent="0.25">
      <c r="A12" t="str">
        <f t="shared" si="0"/>
        <v>MODERADO-TIJOLO</v>
      </c>
      <c r="B12" s="45" t="s">
        <v>20</v>
      </c>
      <c r="C12" s="45" t="s">
        <v>27</v>
      </c>
      <c r="D12" s="49">
        <v>0.35</v>
      </c>
    </row>
    <row r="13" spans="1:4" x14ac:dyDescent="0.25">
      <c r="A13" t="str">
        <f t="shared" si="0"/>
        <v>MODERADO-HIBRIDOS</v>
      </c>
      <c r="B13" s="45" t="s">
        <v>20</v>
      </c>
      <c r="C13" s="45" t="s">
        <v>28</v>
      </c>
      <c r="D13" s="44">
        <v>0.08</v>
      </c>
    </row>
    <row r="14" spans="1:4" x14ac:dyDescent="0.25">
      <c r="A14" t="str">
        <f t="shared" si="0"/>
        <v>MODERADO-FOFs</v>
      </c>
      <c r="B14" s="45" t="s">
        <v>20</v>
      </c>
      <c r="C14" s="45" t="s">
        <v>29</v>
      </c>
      <c r="D14" s="44">
        <v>0.05</v>
      </c>
    </row>
    <row r="15" spans="1:4" x14ac:dyDescent="0.25">
      <c r="A15" t="str">
        <f t="shared" si="0"/>
        <v>MODERADO-DESENVOLVIMENTO</v>
      </c>
      <c r="B15" s="45" t="s">
        <v>20</v>
      </c>
      <c r="C15" s="45" t="s">
        <v>30</v>
      </c>
      <c r="D15" s="44">
        <v>0.1</v>
      </c>
    </row>
    <row r="16" spans="1:4" ht="15.75" thickBot="1" x14ac:dyDescent="0.3">
      <c r="A16" s="46" t="str">
        <f t="shared" si="0"/>
        <v>MODERADO-HOTELARIAS</v>
      </c>
      <c r="B16" s="47" t="s">
        <v>20</v>
      </c>
      <c r="C16" s="47" t="s">
        <v>31</v>
      </c>
      <c r="D16" s="48">
        <v>0</v>
      </c>
    </row>
    <row r="17" spans="1:4" x14ac:dyDescent="0.25">
      <c r="A17" t="str">
        <f t="shared" si="0"/>
        <v>AGRESSIVO-PAPEL</v>
      </c>
      <c r="B17" s="45" t="s">
        <v>19</v>
      </c>
      <c r="C17" s="45" t="s">
        <v>26</v>
      </c>
      <c r="D17" s="44">
        <v>0.5</v>
      </c>
    </row>
    <row r="18" spans="1:4" x14ac:dyDescent="0.25">
      <c r="A18" t="str">
        <f t="shared" si="0"/>
        <v>AGRESSIVO-TIJOLO</v>
      </c>
      <c r="B18" s="45" t="s">
        <v>19</v>
      </c>
      <c r="C18" s="45" t="s">
        <v>27</v>
      </c>
      <c r="D18" s="44">
        <v>0.1</v>
      </c>
    </row>
    <row r="19" spans="1:4" x14ac:dyDescent="0.25">
      <c r="A19" t="str">
        <f t="shared" si="0"/>
        <v>AGRESSIVO-HIBRIDOS</v>
      </c>
      <c r="B19" s="45" t="s">
        <v>19</v>
      </c>
      <c r="C19" s="45" t="s">
        <v>28</v>
      </c>
      <c r="D19" s="44">
        <v>0.05</v>
      </c>
    </row>
    <row r="20" spans="1:4" x14ac:dyDescent="0.25">
      <c r="A20" t="str">
        <f t="shared" si="0"/>
        <v>AGRESSIVO-FOFs</v>
      </c>
      <c r="B20" s="45" t="s">
        <v>19</v>
      </c>
      <c r="C20" s="45" t="s">
        <v>29</v>
      </c>
      <c r="D20" s="44">
        <v>0.05</v>
      </c>
    </row>
    <row r="21" spans="1:4" x14ac:dyDescent="0.25">
      <c r="A21" t="str">
        <f t="shared" si="0"/>
        <v>AGRESSIVO-DESENVOLVIMENTO</v>
      </c>
      <c r="B21" s="45" t="s">
        <v>19</v>
      </c>
      <c r="C21" s="45" t="s">
        <v>30</v>
      </c>
      <c r="D21" s="44">
        <v>0.2</v>
      </c>
    </row>
    <row r="22" spans="1:4" ht="15.75" thickBot="1" x14ac:dyDescent="0.3">
      <c r="A22" s="46" t="str">
        <f t="shared" si="0"/>
        <v>AGRESSIVO-HOTELARIAS</v>
      </c>
      <c r="B22" s="47" t="s">
        <v>19</v>
      </c>
      <c r="C22" s="47" t="s">
        <v>31</v>
      </c>
      <c r="D22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Planilha1</vt:lpstr>
      <vt:lpstr>APORTE_MENSAL</vt:lpstr>
      <vt:lpstr>PATRIMONIO</vt:lpstr>
      <vt:lpstr>QTD_ANOS</vt:lpstr>
      <vt:lpstr>RENDIMENTO_CARTEIRA</vt:lpstr>
      <vt:lpstr>SALARIO</vt:lpstr>
      <vt:lpstr>SGT_INVESTIMENTO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</dc:creator>
  <cp:lastModifiedBy>Iago Silva</cp:lastModifiedBy>
  <dcterms:created xsi:type="dcterms:W3CDTF">2015-06-05T18:19:34Z</dcterms:created>
  <dcterms:modified xsi:type="dcterms:W3CDTF">2026-10-17T16:44:41Z</dcterms:modified>
</cp:coreProperties>
</file>